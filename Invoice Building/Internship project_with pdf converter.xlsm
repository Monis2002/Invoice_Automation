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Invoice Building\"/>
    </mc:Choice>
  </mc:AlternateContent>
  <xr:revisionPtr revIDLastSave="0" documentId="13_ncr:1_{0CAD5AE4-34CA-4B66-BC3E-FAF3C6E32800}" xr6:coauthVersionLast="47" xr6:coauthVersionMax="47" xr10:uidLastSave="{00000000-0000-0000-0000-000000000000}"/>
  <bookViews>
    <workbookView xWindow="-108" yWindow="-108" windowWidth="23256" windowHeight="12456" xr2:uid="{7F85B269-00D8-4511-87D7-BDB618A22818}"/>
  </bookViews>
  <sheets>
    <sheet name="Invoice Template" sheetId="1" r:id="rId1"/>
    <sheet name="Sheet3" sheetId="3" r:id="rId2"/>
  </sheets>
  <definedNames>
    <definedName name="cust_ddown">Cust_list[Memo No]</definedName>
    <definedName name="_xlnm.Print_Area" localSheetId="0">'Invoice Template'!$B$2:$I$49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1" l="1"/>
  <c r="E38" i="1"/>
  <c r="I36" i="1"/>
  <c r="E34" i="1"/>
  <c r="C36" i="1"/>
  <c r="G38" i="1"/>
  <c r="G34" i="1"/>
  <c r="C38" i="1"/>
  <c r="I34" i="1"/>
  <c r="G36" i="1"/>
  <c r="E36" i="1"/>
  <c r="C34" i="1"/>
  <c r="C23" i="1"/>
  <c r="G23" i="1"/>
  <c r="G19" i="1"/>
  <c r="C21" i="1"/>
  <c r="C19" i="1"/>
</calcChain>
</file>

<file path=xl/sharedStrings.xml><?xml version="1.0" encoding="utf-8"?>
<sst xmlns="http://schemas.openxmlformats.org/spreadsheetml/2006/main" count="98" uniqueCount="54">
  <si>
    <t>Office</t>
  </si>
  <si>
    <t xml:space="preserve">Registered </t>
  </si>
  <si>
    <t>Showroom No. 92,kopre Gaothan,Near Cosmos Bank,Kave</t>
  </si>
  <si>
    <t>Nagar, Pune, Maharashtra 411052</t>
  </si>
  <si>
    <t>rces.karve@gamil.com | +919096602676</t>
  </si>
  <si>
    <t>Franchisee</t>
  </si>
  <si>
    <t>Showroom No. 25,Chandrabhaaga,Corner Opp,Ravet Pune,</t>
  </si>
  <si>
    <t>Maharashtra 411052</t>
  </si>
  <si>
    <t>rces.karve@gamil.com | +918421462585</t>
  </si>
  <si>
    <t>Memo No.</t>
  </si>
  <si>
    <t>Name</t>
  </si>
  <si>
    <t>Phone</t>
  </si>
  <si>
    <t>Model</t>
  </si>
  <si>
    <t xml:space="preserve">Date </t>
  </si>
  <si>
    <t>Email</t>
  </si>
  <si>
    <t>Sr. No</t>
  </si>
  <si>
    <t>Problem</t>
  </si>
  <si>
    <t>ACCESSORIES RECIVERD</t>
  </si>
  <si>
    <t>Customer's Signature</t>
  </si>
  <si>
    <t>For Radheshaym Computer &amp; Electronic Showroom</t>
  </si>
  <si>
    <t>Terms &amp; Condition : &gt;</t>
  </si>
  <si>
    <t>. Backup your data before giving for repair.</t>
  </si>
  <si>
    <t>. We're not responsible for unforeseen hardware,failueres,data during out possition.</t>
  </si>
  <si>
    <t>. Take all your belongings at the time of delivery.</t>
  </si>
  <si>
    <t>. Any repaired item(s) like laptop,desktop,etc .Does not have any warranty or guarantee please check before leaving store.</t>
  </si>
  <si>
    <t>Remark/Condtion</t>
  </si>
  <si>
    <t>HDD</t>
  </si>
  <si>
    <t>SSD Drive</t>
  </si>
  <si>
    <t>Netwprk Card</t>
  </si>
  <si>
    <t>Ram</t>
  </si>
  <si>
    <t>Power Card</t>
  </si>
  <si>
    <t>Battery</t>
  </si>
  <si>
    <t>Graphic Card</t>
  </si>
  <si>
    <t>CD/DVD/RW</t>
  </si>
  <si>
    <t>Adoptor</t>
  </si>
  <si>
    <t>Other</t>
  </si>
  <si>
    <t>Memo No</t>
  </si>
  <si>
    <t>Date</t>
  </si>
  <si>
    <t>Sr No.</t>
  </si>
  <si>
    <t>Carry Case</t>
  </si>
  <si>
    <t>Network Card</t>
  </si>
  <si>
    <t>Grpahic Card</t>
  </si>
  <si>
    <t>Adaptor</t>
  </si>
  <si>
    <t>Monis</t>
  </si>
  <si>
    <t>Muin</t>
  </si>
  <si>
    <t>Jishan</t>
  </si>
  <si>
    <t>m@gami.com</t>
  </si>
  <si>
    <t>a@gmail.com</t>
  </si>
  <si>
    <t>j@gamil.com</t>
  </si>
  <si>
    <t>a</t>
  </si>
  <si>
    <t>b</t>
  </si>
  <si>
    <t>c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</si>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</sst>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4"/>
      <color rgb="FF000000"/>
      <name val="Bahnschrift Light SemiCondense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11" xfId="0" applyBorder="1"/>
    <xf numFmtId="0" fontId="4" fillId="0" borderId="0" xfId="0" applyFont="1"/>
    <xf numFmtId="0" fontId="5" fillId="0" borderId="0" xfId="0" applyFont="1"/>
    <xf numFmtId="0" fontId="5" fillId="0" borderId="6" xfId="0" applyFont="1" applyBorder="1"/>
    <xf numFmtId="0" fontId="0" fillId="0" borderId="1" xfId="0" applyBorder="1"/>
    <xf numFmtId="0" fontId="4" fillId="0" borderId="5" xfId="0" applyFont="1" applyBorder="1"/>
    <xf numFmtId="14" fontId="0" fillId="0" borderId="0" xfId="0" applyNumberFormat="1"/>
    <xf numFmtId="0" fontId="3" fillId="0" borderId="0" xfId="1"/>
    <xf numFmtId="0" fontId="1" fillId="3" borderId="14" xfId="0" applyFont="1" applyFill="1" applyBorder="1"/>
    <xf numFmtId="0" fontId="1" fillId="3" borderId="15" xfId="0" applyFont="1" applyFill="1" applyBorder="1"/>
    <xf numFmtId="0" fontId="0" fillId="0" borderId="13" xfId="0" applyBorder="1"/>
    <xf numFmtId="0" fontId="0" fillId="0" borderId="0" xfId="0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3" fillId="0" borderId="13" xfId="1" applyBorder="1"/>
    <xf numFmtId="0" fontId="3" fillId="0" borderId="0" xfId="1" applyBorder="1"/>
    <xf numFmtId="0" fontId="3" fillId="0" borderId="6" xfId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8" xfId="0" applyNumberFormat="1" applyBorder="1"/>
    <xf numFmtId="14" fontId="0" fillId="0" borderId="9" xfId="0" applyNumberForma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</cellXfs>
  <cellStyles count="2">
    <cellStyle name="Hyperlink" xfId="1" builtinId="8"/>
    <cellStyle name="Normal" xfId="0" builtinId="0"/>
  </cellStyles>
  <dxfs count="4"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62918</xdr:colOff>
      <xdr:row>1</xdr:row>
      <xdr:rowOff>18128</xdr:rowOff>
    </xdr:from>
    <xdr:to>
      <xdr:col>6</xdr:col>
      <xdr:colOff>393642</xdr:colOff>
      <xdr:row>4</xdr:row>
      <xdr:rowOff>158000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0683" y="197422"/>
          <a:ext cx="2356058" cy="6777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14</xdr:row>
          <xdr:rowOff>22860</xdr:rowOff>
        </xdr:from>
        <xdr:to>
          <xdr:col>12</xdr:col>
          <xdr:colOff>434340</xdr:colOff>
          <xdr:row>17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Bahnschrift Light SemiCondensed"/>
                </a:rPr>
                <a:t>Save as .pdf 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A07263-DE36-479B-95EB-7127705695B7}" name="Cust_list" displayName="Cust_list" ref="A1:R5" totalsRowShown="0" headerRowDxfId="3" headerRowBorderDxfId="2" tableBorderDxfId="1">
  <autoFilter ref="A1:R5" xr:uid="{72A07263-DE36-479B-95EB-7127705695B7}"/>
  <tableColumns count="18">
    <tableColumn id="1" xr3:uid="{AA4EB5E0-7628-4116-A0BE-552B5D97D53F}" name="Memo No"/>
    <tableColumn id="2" xr3:uid="{4BFB8BB6-ED0E-4990-8B3B-B4623412F24A}" name="Name"/>
    <tableColumn id="3" xr3:uid="{DFD8A45B-24ED-4BD1-AC8F-C633AE15B14D}" name="Date" dataDxfId="0"/>
    <tableColumn id="4" xr3:uid="{B39292D9-D465-4C59-B0F9-551589153A5B}" name="Phone"/>
    <tableColumn id="5" xr3:uid="{39BA40FA-9895-41A9-B0F2-9897C8491C44}" name="Email" dataCellStyle="Hyperlink"/>
    <tableColumn id="6" xr3:uid="{2A987244-A6DE-40CB-A82E-491A9784CC9F}" name="Model"/>
    <tableColumn id="7" xr3:uid="{ACFC4D13-070C-4CD7-9D9E-1E4E2B8B7791}" name="Sr No."/>
    <tableColumn id="8" xr3:uid="{C4E0C1E7-3440-4EAD-A541-F9641743E699}" name="HDD"/>
    <tableColumn id="9" xr3:uid="{7CA4D246-3693-41CA-8A97-EC1DB260691A}" name="Ram"/>
    <tableColumn id="10" xr3:uid="{A7E5DCDE-E508-4E5D-9DED-2DD3CEDAF5AF}" name="CD/DVD/RW"/>
    <tableColumn id="11" xr3:uid="{CAABF53B-975A-42B6-9C04-6C1B664C6501}" name="SSD Drive"/>
    <tableColumn id="12" xr3:uid="{28767651-457A-4541-84DC-84389CC2DED6}" name="Battery"/>
    <tableColumn id="13" xr3:uid="{4DFDAD27-68C4-4D30-ACA3-C0C8DA9EFEF6}" name="Carry Case"/>
    <tableColumn id="14" xr3:uid="{71A27017-4126-44AD-8DDA-25F2D6DD4DC7}" name="Network Card"/>
    <tableColumn id="15" xr3:uid="{4497B3A3-5E5D-48F0-B9A6-A429193E0D6B}" name="Grpahic Card"/>
    <tableColumn id="16" xr3:uid="{A2B3F078-5C40-470E-A0C4-E62EF6A2EFBA}" name="Adaptor"/>
    <tableColumn id="17" xr3:uid="{6F071CA9-A549-457B-B126-D21D13CFB548}" name="Power Card"/>
    <tableColumn id="18" xr3:uid="{10458FB6-7CFC-45B9-9EC4-A52319A0F0F0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ces.karve@gamil.com%20%7C%20+918421462585" TargetMode="External"/><Relationship Id="rId1" Type="http://schemas.openxmlformats.org/officeDocument/2006/relationships/hyperlink" Target="mailto:rces.karve@gamil.com%20%7C%20+919096602676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@gamil.com" TargetMode="External"/><Relationship Id="rId2" Type="http://schemas.openxmlformats.org/officeDocument/2006/relationships/hyperlink" Target="mailto:a@gmail.com" TargetMode="External"/><Relationship Id="rId1" Type="http://schemas.openxmlformats.org/officeDocument/2006/relationships/hyperlink" Target="mailto:m@gami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BD501-8B71-403D-96EA-3F32D63BC3DE}">
  <sheetPr codeName="Sheet1"/>
  <dimension ref="B2:I49"/>
  <sheetViews>
    <sheetView showGridLines="0" tabSelected="1" zoomScale="76" zoomScaleNormal="102" workbookViewId="0">
      <selection activeCell="C17" sqref="C17:H17"/>
    </sheetView>
  </sheetViews>
  <sheetFormatPr defaultRowHeight="14.4" x14ac:dyDescent="0.3"/>
  <cols>
    <col min="2" max="2" width="11.21875" customWidth="1"/>
    <col min="3" max="3" width="9.6640625" customWidth="1"/>
    <col min="5" max="6" width="10.21875" customWidth="1"/>
    <col min="7" max="7" width="8.33203125" customWidth="1"/>
    <col min="8" max="8" width="8.21875" customWidth="1"/>
    <col min="9" max="9" width="11.109375" customWidth="1"/>
  </cols>
  <sheetData>
    <row r="2" spans="2:9" x14ac:dyDescent="0.3">
      <c r="B2" s="12"/>
      <c r="C2" s="13"/>
      <c r="D2" s="13"/>
      <c r="E2" s="13"/>
      <c r="F2" s="13"/>
      <c r="G2" s="13"/>
      <c r="H2" s="13"/>
      <c r="I2" s="14"/>
    </row>
    <row r="3" spans="2:9" x14ac:dyDescent="0.3">
      <c r="B3" s="15"/>
      <c r="C3" s="16"/>
      <c r="D3" s="16"/>
      <c r="E3" s="16"/>
      <c r="F3" s="16"/>
      <c r="G3" s="16"/>
      <c r="H3" s="16"/>
      <c r="I3" s="17"/>
    </row>
    <row r="4" spans="2:9" x14ac:dyDescent="0.3">
      <c r="B4" s="15"/>
      <c r="C4" s="16"/>
      <c r="D4" s="16"/>
      <c r="E4" s="16"/>
      <c r="F4" s="16"/>
      <c r="G4" s="16"/>
      <c r="H4" s="16"/>
      <c r="I4" s="17"/>
    </row>
    <row r="5" spans="2:9" x14ac:dyDescent="0.3">
      <c r="B5" s="15"/>
      <c r="C5" s="16"/>
      <c r="D5" s="16"/>
      <c r="E5" s="16"/>
      <c r="F5" s="16"/>
      <c r="G5" s="16"/>
      <c r="H5" s="16"/>
      <c r="I5" s="17"/>
    </row>
    <row r="6" spans="2:9" x14ac:dyDescent="0.3">
      <c r="B6" s="12"/>
      <c r="C6" s="13"/>
      <c r="D6" s="13"/>
      <c r="E6" s="13"/>
      <c r="F6" s="13"/>
      <c r="G6" s="13"/>
      <c r="H6" s="13"/>
      <c r="I6" s="14"/>
    </row>
    <row r="7" spans="2:9" x14ac:dyDescent="0.3">
      <c r="B7" s="31" t="s">
        <v>1</v>
      </c>
      <c r="C7" s="32"/>
      <c r="D7" s="28" t="s">
        <v>2</v>
      </c>
      <c r="E7" s="29"/>
      <c r="F7" s="29"/>
      <c r="G7" s="29"/>
      <c r="H7" s="29"/>
      <c r="I7" s="30"/>
    </row>
    <row r="8" spans="2:9" x14ac:dyDescent="0.3">
      <c r="B8" s="31" t="s">
        <v>0</v>
      </c>
      <c r="C8" s="32"/>
      <c r="D8" s="28" t="s">
        <v>3</v>
      </c>
      <c r="E8" s="29"/>
      <c r="F8" s="29"/>
      <c r="G8" s="29"/>
      <c r="H8" s="29"/>
      <c r="I8" s="30"/>
    </row>
    <row r="9" spans="2:9" x14ac:dyDescent="0.3">
      <c r="B9" s="33"/>
      <c r="C9" s="29"/>
      <c r="D9" s="34" t="s">
        <v>4</v>
      </c>
      <c r="E9" s="35"/>
      <c r="F9" s="35"/>
      <c r="G9" s="35"/>
      <c r="H9" s="35"/>
      <c r="I9" s="36"/>
    </row>
    <row r="10" spans="2:9" x14ac:dyDescent="0.3">
      <c r="B10" s="37"/>
      <c r="C10" s="38"/>
      <c r="D10" s="38"/>
      <c r="E10" s="38"/>
      <c r="F10" s="38"/>
      <c r="G10" s="38"/>
      <c r="H10" s="38"/>
      <c r="I10" s="39"/>
    </row>
    <row r="11" spans="2:9" x14ac:dyDescent="0.3">
      <c r="B11" s="40"/>
      <c r="C11" s="41"/>
      <c r="D11" s="41"/>
      <c r="E11" s="41"/>
      <c r="F11" s="41"/>
      <c r="G11" s="41"/>
      <c r="H11" s="41"/>
      <c r="I11" s="42"/>
    </row>
    <row r="12" spans="2:9" x14ac:dyDescent="0.3">
      <c r="B12" s="33" t="s">
        <v>5</v>
      </c>
      <c r="C12" s="29"/>
      <c r="D12" s="28" t="s">
        <v>6</v>
      </c>
      <c r="E12" s="29"/>
      <c r="F12" s="29"/>
      <c r="G12" s="29"/>
      <c r="H12" s="29"/>
      <c r="I12" s="30"/>
    </row>
    <row r="13" spans="2:9" x14ac:dyDescent="0.3">
      <c r="B13" s="33" t="s">
        <v>0</v>
      </c>
      <c r="C13" s="29"/>
      <c r="D13" s="28" t="s">
        <v>7</v>
      </c>
      <c r="E13" s="29"/>
      <c r="F13" s="29"/>
      <c r="G13" s="29"/>
      <c r="H13" s="29"/>
      <c r="I13" s="30"/>
    </row>
    <row r="14" spans="2:9" x14ac:dyDescent="0.3">
      <c r="B14" s="31"/>
      <c r="C14" s="32"/>
      <c r="D14" s="34" t="s">
        <v>8</v>
      </c>
      <c r="E14" s="29"/>
      <c r="F14" s="29"/>
      <c r="G14" s="29"/>
      <c r="H14" s="29"/>
      <c r="I14" s="30"/>
    </row>
    <row r="15" spans="2:9" x14ac:dyDescent="0.3">
      <c r="B15" s="37"/>
      <c r="C15" s="38"/>
      <c r="D15" s="38"/>
      <c r="E15" s="38"/>
      <c r="F15" s="38"/>
      <c r="G15" s="38"/>
      <c r="H15" s="38"/>
      <c r="I15" s="39"/>
    </row>
    <row r="16" spans="2:9" x14ac:dyDescent="0.3">
      <c r="B16" s="40"/>
      <c r="C16" s="41"/>
      <c r="D16" s="41"/>
      <c r="E16" s="41"/>
      <c r="F16" s="41"/>
      <c r="G16" s="41"/>
      <c r="H16" s="41"/>
      <c r="I16" s="42"/>
    </row>
    <row r="17" spans="2:9" x14ac:dyDescent="0.3">
      <c r="B17" s="4" t="s">
        <v>9</v>
      </c>
      <c r="C17" s="38">
        <v>1</v>
      </c>
      <c r="D17" s="38"/>
      <c r="E17" s="38"/>
      <c r="F17" s="38"/>
      <c r="G17" s="38"/>
      <c r="H17" s="38"/>
      <c r="I17" s="5"/>
    </row>
    <row r="18" spans="2:9" x14ac:dyDescent="0.3">
      <c r="B18" s="4"/>
      <c r="F18" s="1"/>
      <c r="I18" s="5"/>
    </row>
    <row r="19" spans="2:9" x14ac:dyDescent="0.3">
      <c r="B19" s="4" t="s">
        <v>10</v>
      </c>
      <c r="C19" s="38" t="str">
        <f>VLOOKUP(C17,Cust_list[],2,0)</f>
        <v>Monis</v>
      </c>
      <c r="D19" s="38"/>
      <c r="E19" s="39"/>
      <c r="F19" s="4" t="s">
        <v>13</v>
      </c>
      <c r="G19" s="43">
        <f>VLOOKUP(C17,Cust_list[],3,0)</f>
        <v>37289</v>
      </c>
      <c r="H19" s="43"/>
      <c r="I19" s="44"/>
    </row>
    <row r="20" spans="2:9" x14ac:dyDescent="0.3">
      <c r="B20" s="4"/>
      <c r="F20" s="4"/>
      <c r="I20" s="5"/>
    </row>
    <row r="21" spans="2:9" x14ac:dyDescent="0.3">
      <c r="B21" s="4" t="s">
        <v>11</v>
      </c>
      <c r="C21" s="38">
        <f>VLOOKUP(C17,Cust_list[],4,0)</f>
        <v>1234567890</v>
      </c>
      <c r="D21" s="38"/>
      <c r="E21" s="39"/>
      <c r="F21" s="4" t="s">
        <v>14</v>
      </c>
      <c r="G21" s="38" t="str">
        <f>VLOOKUP(C17,Cust_list[],5,0)</f>
        <v>m@gami.com</v>
      </c>
      <c r="H21" s="38"/>
      <c r="I21" s="39"/>
    </row>
    <row r="22" spans="2:9" x14ac:dyDescent="0.3">
      <c r="B22" s="4"/>
      <c r="F22" s="4"/>
      <c r="I22" s="3"/>
    </row>
    <row r="23" spans="2:9" x14ac:dyDescent="0.3">
      <c r="B23" s="4" t="s">
        <v>12</v>
      </c>
      <c r="C23" s="38" t="str">
        <f>VLOOKUP(C17,Cust_list[],6,0)</f>
        <v>a</v>
      </c>
      <c r="D23" s="38"/>
      <c r="E23" s="39"/>
      <c r="F23" s="4" t="s">
        <v>15</v>
      </c>
      <c r="G23" s="7">
        <f>VLOOKUP(C17,Cust_list[],7,0)</f>
        <v>12</v>
      </c>
      <c r="H23" s="7"/>
      <c r="I23" s="8"/>
    </row>
    <row r="24" spans="2:9" x14ac:dyDescent="0.3">
      <c r="B24" s="4"/>
      <c r="F24" s="4"/>
      <c r="I24" s="5"/>
    </row>
    <row r="25" spans="2:9" x14ac:dyDescent="0.3">
      <c r="B25" s="1"/>
      <c r="C25" s="2"/>
      <c r="D25" s="2"/>
      <c r="E25" s="2"/>
      <c r="F25" s="2"/>
      <c r="G25" s="2"/>
      <c r="H25" s="2"/>
      <c r="I25" s="3"/>
    </row>
    <row r="26" spans="2:9" x14ac:dyDescent="0.3">
      <c r="B26" s="4"/>
      <c r="C26" s="40"/>
      <c r="D26" s="41"/>
      <c r="E26" s="41"/>
      <c r="F26" s="41"/>
      <c r="G26" s="41"/>
      <c r="H26" s="42"/>
      <c r="I26" s="5"/>
    </row>
    <row r="27" spans="2:9" x14ac:dyDescent="0.3">
      <c r="B27" s="4"/>
      <c r="C27" s="33"/>
      <c r="D27" s="29"/>
      <c r="E27" s="29"/>
      <c r="F27" s="29"/>
      <c r="G27" s="29"/>
      <c r="H27" s="30"/>
      <c r="I27" s="5"/>
    </row>
    <row r="28" spans="2:9" x14ac:dyDescent="0.3">
      <c r="B28" s="4" t="s">
        <v>16</v>
      </c>
      <c r="C28" s="33"/>
      <c r="D28" s="29"/>
      <c r="E28" s="29"/>
      <c r="F28" s="29"/>
      <c r="G28" s="29"/>
      <c r="H28" s="30"/>
      <c r="I28" s="5"/>
    </row>
    <row r="29" spans="2:9" x14ac:dyDescent="0.3">
      <c r="B29" s="4"/>
      <c r="C29" s="33"/>
      <c r="D29" s="29"/>
      <c r="E29" s="29"/>
      <c r="F29" s="29"/>
      <c r="G29" s="29"/>
      <c r="H29" s="30"/>
      <c r="I29" s="5"/>
    </row>
    <row r="30" spans="2:9" x14ac:dyDescent="0.3">
      <c r="B30" s="4"/>
      <c r="C30" s="37"/>
      <c r="D30" s="38"/>
      <c r="E30" s="38"/>
      <c r="F30" s="38"/>
      <c r="G30" s="38"/>
      <c r="H30" s="39"/>
      <c r="I30" s="5"/>
    </row>
    <row r="31" spans="2:9" x14ac:dyDescent="0.3">
      <c r="B31" s="4"/>
      <c r="I31" s="5"/>
    </row>
    <row r="32" spans="2:9" x14ac:dyDescent="0.3">
      <c r="B32" s="45" t="s">
        <v>17</v>
      </c>
      <c r="C32" s="46"/>
      <c r="D32" s="46"/>
      <c r="E32" s="46"/>
      <c r="F32" s="46"/>
      <c r="G32" s="46"/>
      <c r="H32" s="46"/>
      <c r="I32" s="47"/>
    </row>
    <row r="33" spans="2:9" x14ac:dyDescent="0.3">
      <c r="B33" s="1"/>
      <c r="C33" s="3"/>
      <c r="D33" s="1"/>
      <c r="E33" s="3"/>
      <c r="F33" s="1"/>
      <c r="G33" s="3"/>
      <c r="I33" s="5"/>
    </row>
    <row r="34" spans="2:9" x14ac:dyDescent="0.3">
      <c r="B34" s="23" t="s">
        <v>26</v>
      </c>
      <c r="C34" s="22" t="str">
        <f>VLOOKUP(C17,Cust_list[],8,0)</f>
        <v>yes</v>
      </c>
      <c r="D34" s="23" t="s">
        <v>30</v>
      </c>
      <c r="E34" s="22" t="str">
        <f>VLOOKUP(C17,Cust_list[],17,0)</f>
        <v>no</v>
      </c>
      <c r="F34" s="23" t="s">
        <v>32</v>
      </c>
      <c r="G34" s="22" t="str">
        <f>VLOOKUP(C17,Cust_list[],15,0)</f>
        <v>no</v>
      </c>
      <c r="H34" s="19" t="s">
        <v>39</v>
      </c>
      <c r="I34" s="22" t="str">
        <f>VLOOKUP(C17,Cust_list[],13,0)</f>
        <v>no</v>
      </c>
    </row>
    <row r="35" spans="2:9" x14ac:dyDescent="0.3">
      <c r="B35" s="23"/>
      <c r="C35" s="5"/>
      <c r="D35" s="23"/>
      <c r="E35" s="5"/>
      <c r="F35" s="23"/>
      <c r="G35" s="5"/>
      <c r="H35" s="19"/>
      <c r="I35" s="5"/>
    </row>
    <row r="36" spans="2:9" x14ac:dyDescent="0.3">
      <c r="B36" s="23" t="s">
        <v>27</v>
      </c>
      <c r="C36" s="22" t="str">
        <f>VLOOKUP(C17,Cust_list[],11,0)</f>
        <v>no</v>
      </c>
      <c r="D36" s="23" t="s">
        <v>29</v>
      </c>
      <c r="E36" s="22" t="str">
        <f>VLOOKUP(C17,Cust_list[],9,0)</f>
        <v>no</v>
      </c>
      <c r="F36" s="23" t="s">
        <v>33</v>
      </c>
      <c r="G36" s="22" t="str">
        <f>VLOOKUP(C17,Cust_list[],10,0)</f>
        <v>yes</v>
      </c>
      <c r="H36" s="19" t="s">
        <v>35</v>
      </c>
      <c r="I36" s="22" t="str">
        <f>VLOOKUP(C17,Cust_list[],18,0)</f>
        <v>no</v>
      </c>
    </row>
    <row r="37" spans="2:9" x14ac:dyDescent="0.3">
      <c r="B37" s="23"/>
      <c r="C37" s="5"/>
      <c r="D37" s="23"/>
      <c r="E37" s="5"/>
      <c r="F37" s="23"/>
      <c r="G37" s="5"/>
      <c r="H37" s="19"/>
      <c r="I37" s="5"/>
    </row>
    <row r="38" spans="2:9" x14ac:dyDescent="0.3">
      <c r="B38" s="23" t="s">
        <v>28</v>
      </c>
      <c r="C38" s="22" t="str">
        <f>VLOOKUP(C17,Cust_list[],14,0)</f>
        <v>no</v>
      </c>
      <c r="D38" s="23" t="s">
        <v>31</v>
      </c>
      <c r="E38" s="22" t="str">
        <f>VLOOKUP(C17,Cust_list[],12,0)</f>
        <v>no</v>
      </c>
      <c r="F38" s="23" t="s">
        <v>34</v>
      </c>
      <c r="G38" s="22" t="str">
        <f>VLOOKUP(C17,Cust_list[],16,0)</f>
        <v>no</v>
      </c>
      <c r="H38" s="19"/>
      <c r="I38" s="5"/>
    </row>
    <row r="39" spans="2:9" x14ac:dyDescent="0.3">
      <c r="B39" s="6"/>
      <c r="C39" s="8"/>
      <c r="D39" s="6"/>
      <c r="E39" s="8"/>
      <c r="F39" s="6"/>
      <c r="G39" s="8"/>
      <c r="I39" s="5"/>
    </row>
    <row r="40" spans="2:9" x14ac:dyDescent="0.3">
      <c r="B40" s="1" t="s">
        <v>25</v>
      </c>
      <c r="C40" s="2"/>
      <c r="D40" s="18"/>
      <c r="E40" s="18"/>
      <c r="F40" s="18"/>
      <c r="G40" s="18"/>
      <c r="H40" s="18"/>
      <c r="I40" s="3"/>
    </row>
    <row r="41" spans="2:9" x14ac:dyDescent="0.3">
      <c r="B41" s="37"/>
      <c r="C41" s="38"/>
      <c r="D41" s="7"/>
      <c r="E41" s="7"/>
      <c r="F41" s="7"/>
      <c r="G41" s="7"/>
      <c r="H41" s="7"/>
      <c r="I41" s="8"/>
    </row>
    <row r="42" spans="2:9" x14ac:dyDescent="0.3">
      <c r="B42" s="48" t="s">
        <v>20</v>
      </c>
      <c r="C42" s="49"/>
      <c r="D42" s="20"/>
      <c r="E42" s="20"/>
      <c r="F42" s="20"/>
      <c r="G42" s="20"/>
      <c r="H42" s="20"/>
      <c r="I42" s="21"/>
    </row>
    <row r="43" spans="2:9" x14ac:dyDescent="0.3">
      <c r="B43" s="50" t="s">
        <v>21</v>
      </c>
      <c r="C43" s="51"/>
      <c r="D43" s="51"/>
      <c r="E43" s="51"/>
      <c r="F43" s="51"/>
      <c r="G43" s="51"/>
      <c r="H43" s="51"/>
      <c r="I43" s="52"/>
    </row>
    <row r="44" spans="2:9" x14ac:dyDescent="0.3">
      <c r="B44" s="50" t="s">
        <v>22</v>
      </c>
      <c r="C44" s="51"/>
      <c r="D44" s="51"/>
      <c r="E44" s="51"/>
      <c r="F44" s="51"/>
      <c r="G44" s="51"/>
      <c r="H44" s="51"/>
      <c r="I44" s="52"/>
    </row>
    <row r="45" spans="2:9" x14ac:dyDescent="0.3">
      <c r="B45" s="50" t="s">
        <v>23</v>
      </c>
      <c r="C45" s="51"/>
      <c r="D45" s="51"/>
      <c r="E45" s="51"/>
      <c r="F45" s="51"/>
      <c r="G45" s="51"/>
      <c r="H45" s="51"/>
      <c r="I45" s="52"/>
    </row>
    <row r="46" spans="2:9" x14ac:dyDescent="0.3">
      <c r="B46" s="53" t="s">
        <v>24</v>
      </c>
      <c r="C46" s="54"/>
      <c r="D46" s="54"/>
      <c r="E46" s="54"/>
      <c r="F46" s="54"/>
      <c r="G46" s="54"/>
      <c r="H46" s="54"/>
      <c r="I46" s="55"/>
    </row>
    <row r="47" spans="2:9" x14ac:dyDescent="0.3">
      <c r="B47" s="9"/>
      <c r="C47" s="10"/>
      <c r="D47" s="10"/>
      <c r="E47" s="10"/>
      <c r="F47" s="10"/>
      <c r="G47" s="10"/>
      <c r="H47" s="10"/>
      <c r="I47" s="11"/>
    </row>
    <row r="48" spans="2:9" x14ac:dyDescent="0.3">
      <c r="B48" s="9"/>
      <c r="C48" s="10"/>
      <c r="D48" s="10"/>
      <c r="E48" s="10"/>
      <c r="F48" s="10"/>
      <c r="G48" s="10"/>
      <c r="H48" s="10"/>
      <c r="I48" s="11"/>
    </row>
    <row r="49" spans="2:9" x14ac:dyDescent="0.3">
      <c r="B49" s="37" t="s">
        <v>18</v>
      </c>
      <c r="C49" s="38"/>
      <c r="D49" s="7"/>
      <c r="E49" s="38" t="s">
        <v>19</v>
      </c>
      <c r="F49" s="38"/>
      <c r="G49" s="38"/>
      <c r="H49" s="38"/>
      <c r="I49" s="39"/>
    </row>
  </sheetData>
  <mergeCells count="36">
    <mergeCell ref="C30:H30"/>
    <mergeCell ref="B32:I32"/>
    <mergeCell ref="B49:C49"/>
    <mergeCell ref="E49:I49"/>
    <mergeCell ref="B42:C42"/>
    <mergeCell ref="B43:I43"/>
    <mergeCell ref="B44:I44"/>
    <mergeCell ref="B45:I45"/>
    <mergeCell ref="B46:I46"/>
    <mergeCell ref="B41:C41"/>
    <mergeCell ref="C26:H26"/>
    <mergeCell ref="C27:H27"/>
    <mergeCell ref="C28:H28"/>
    <mergeCell ref="C29:H29"/>
    <mergeCell ref="B11:I11"/>
    <mergeCell ref="C19:E19"/>
    <mergeCell ref="C21:E21"/>
    <mergeCell ref="C23:E23"/>
    <mergeCell ref="G19:I19"/>
    <mergeCell ref="G21:I21"/>
    <mergeCell ref="B10:I10"/>
    <mergeCell ref="B15:I15"/>
    <mergeCell ref="C17:H17"/>
    <mergeCell ref="B16:I16"/>
    <mergeCell ref="B12:C12"/>
    <mergeCell ref="B13:C13"/>
    <mergeCell ref="B14:C14"/>
    <mergeCell ref="D12:I12"/>
    <mergeCell ref="D13:I13"/>
    <mergeCell ref="D14:I14"/>
    <mergeCell ref="D7:I7"/>
    <mergeCell ref="D8:I8"/>
    <mergeCell ref="B7:C7"/>
    <mergeCell ref="B8:C8"/>
    <mergeCell ref="B9:C9"/>
    <mergeCell ref="D9:I9"/>
  </mergeCells>
  <dataValidations count="1">
    <dataValidation type="list" allowBlank="1" showInputMessage="1" showErrorMessage="1" sqref="C17:H17" xr:uid="{DBCC106E-35E0-4EE1-B17B-04DF4347BC88}">
      <formula1>cust_ddown</formula1>
    </dataValidation>
  </dataValidations>
  <hyperlinks>
    <hyperlink ref="D9" r:id="rId1" xr:uid="{6F020C9C-FBD9-4416-B454-B4893AA91C1E}"/>
    <hyperlink ref="D14" r:id="rId2" xr:uid="{EAA5ADB3-2761-4F91-BF41-F81D308A9B2F}"/>
  </hyperlinks>
  <pageMargins left="0.59055118110236227" right="0.39370078740157483" top="0.78740157480314965" bottom="0.78740157480314965" header="0.31496062992125984" footer="0.31496062992125984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aveAsPDF">
                <anchor moveWithCells="1" sizeWithCells="1">
                  <from>
                    <xdr:col>10</xdr:col>
                    <xdr:colOff>38100</xdr:colOff>
                    <xdr:row>14</xdr:row>
                    <xdr:rowOff>22860</xdr:rowOff>
                  </from>
                  <to>
                    <xdr:col>12</xdr:col>
                    <xdr:colOff>434340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771BA-C99E-4D18-8590-AA584CF26C56}">
  <sheetPr codeName="Sheet2"/>
  <dimension ref="A1:R5"/>
  <sheetViews>
    <sheetView topLeftCell="C1" workbookViewId="0">
      <selection activeCell="G13" sqref="G13"/>
    </sheetView>
  </sheetViews>
  <sheetFormatPr defaultRowHeight="14.4" x14ac:dyDescent="0.3"/>
  <cols>
    <col min="1" max="1" width="11.33203125" customWidth="1"/>
    <col min="3" max="3" width="10.33203125" bestFit="1" customWidth="1"/>
    <col min="10" max="10" width="13.5546875" customWidth="1"/>
    <col min="11" max="11" width="10.88671875" customWidth="1"/>
    <col min="12" max="12" width="9" customWidth="1"/>
    <col min="13" max="13" width="11.6640625" customWidth="1"/>
    <col min="14" max="14" width="14.44140625" customWidth="1"/>
    <col min="15" max="15" width="13.6640625" customWidth="1"/>
    <col min="16" max="16" width="9.77734375" customWidth="1"/>
    <col min="17" max="17" width="12.5546875" customWidth="1"/>
  </cols>
  <sheetData>
    <row r="1" spans="1:18" x14ac:dyDescent="0.3">
      <c r="A1" s="27" t="s">
        <v>36</v>
      </c>
      <c r="B1" s="26" t="s">
        <v>10</v>
      </c>
      <c r="C1" s="26" t="s">
        <v>37</v>
      </c>
      <c r="D1" s="26" t="s">
        <v>11</v>
      </c>
      <c r="E1" s="26" t="s">
        <v>14</v>
      </c>
      <c r="F1" s="26" t="s">
        <v>12</v>
      </c>
      <c r="G1" s="26" t="s">
        <v>38</v>
      </c>
      <c r="H1" s="26" t="s">
        <v>26</v>
      </c>
      <c r="I1" s="26" t="s">
        <v>29</v>
      </c>
      <c r="J1" s="26" t="s">
        <v>33</v>
      </c>
      <c r="K1" s="26" t="s">
        <v>27</v>
      </c>
      <c r="L1" s="26" t="s">
        <v>31</v>
      </c>
      <c r="M1" s="26" t="s">
        <v>39</v>
      </c>
      <c r="N1" s="26" t="s">
        <v>40</v>
      </c>
      <c r="O1" s="26" t="s">
        <v>41</v>
      </c>
      <c r="P1" s="26" t="s">
        <v>42</v>
      </c>
      <c r="Q1" s="26" t="s">
        <v>30</v>
      </c>
      <c r="R1" s="26" t="s">
        <v>35</v>
      </c>
    </row>
    <row r="2" spans="1:18" x14ac:dyDescent="0.3">
      <c r="A2">
        <v>1</v>
      </c>
      <c r="B2" t="s">
        <v>43</v>
      </c>
      <c r="C2" s="24">
        <v>37289</v>
      </c>
      <c r="D2">
        <v>1234567890</v>
      </c>
      <c r="E2" s="25" t="s">
        <v>46</v>
      </c>
      <c r="F2" t="s">
        <v>49</v>
      </c>
      <c r="G2">
        <v>12</v>
      </c>
      <c r="H2" t="s">
        <v>52</v>
      </c>
      <c r="I2" t="s">
        <v>53</v>
      </c>
      <c r="J2" t="s">
        <v>52</v>
      </c>
      <c r="K2" t="s">
        <v>53</v>
      </c>
      <c r="L2" t="s">
        <v>53</v>
      </c>
      <c r="M2" t="s">
        <v>53</v>
      </c>
      <c r="N2" t="s">
        <v>53</v>
      </c>
      <c r="O2" t="s">
        <v>53</v>
      </c>
      <c r="P2" t="s">
        <v>53</v>
      </c>
      <c r="Q2" t="s">
        <v>53</v>
      </c>
      <c r="R2" t="s">
        <v>53</v>
      </c>
    </row>
    <row r="3" spans="1:18" x14ac:dyDescent="0.3">
      <c r="A3">
        <v>2</v>
      </c>
      <c r="B3" t="s">
        <v>44</v>
      </c>
      <c r="C3" s="24">
        <v>37714</v>
      </c>
      <c r="D3">
        <v>3216549871</v>
      </c>
      <c r="E3" s="25" t="s">
        <v>47</v>
      </c>
      <c r="F3" t="s">
        <v>50</v>
      </c>
      <c r="G3">
        <v>13</v>
      </c>
      <c r="H3" t="s">
        <v>53</v>
      </c>
      <c r="I3" t="s">
        <v>52</v>
      </c>
      <c r="J3" t="s">
        <v>53</v>
      </c>
      <c r="K3" t="s">
        <v>53</v>
      </c>
      <c r="L3" t="s">
        <v>52</v>
      </c>
      <c r="M3" t="s">
        <v>53</v>
      </c>
      <c r="N3" t="s">
        <v>53</v>
      </c>
      <c r="O3" t="s">
        <v>53</v>
      </c>
      <c r="P3" t="s">
        <v>53</v>
      </c>
      <c r="Q3" t="s">
        <v>53</v>
      </c>
      <c r="R3" t="s">
        <v>53</v>
      </c>
    </row>
    <row r="4" spans="1:18" x14ac:dyDescent="0.3">
      <c r="A4">
        <v>3</v>
      </c>
      <c r="B4" t="s">
        <v>45</v>
      </c>
      <c r="C4" s="24">
        <v>41033</v>
      </c>
      <c r="D4">
        <v>1234542222</v>
      </c>
      <c r="E4" s="25" t="s">
        <v>48</v>
      </c>
      <c r="F4" t="s">
        <v>51</v>
      </c>
      <c r="G4">
        <v>14</v>
      </c>
      <c r="H4" t="s">
        <v>52</v>
      </c>
      <c r="I4" t="s">
        <v>52</v>
      </c>
      <c r="J4" t="s">
        <v>53</v>
      </c>
      <c r="K4" t="s">
        <v>52</v>
      </c>
      <c r="L4" t="s">
        <v>53</v>
      </c>
      <c r="M4" t="s">
        <v>52</v>
      </c>
      <c r="N4" t="s">
        <v>52</v>
      </c>
      <c r="O4" t="s">
        <v>52</v>
      </c>
      <c r="P4" t="s">
        <v>52</v>
      </c>
      <c r="Q4" t="s">
        <v>52</v>
      </c>
      <c r="R4" t="s">
        <v>52</v>
      </c>
    </row>
    <row r="5" spans="1:18" x14ac:dyDescent="0.3">
      <c r="A5">
        <v>4</v>
      </c>
      <c r="C5" s="24"/>
      <c r="E5" s="25"/>
    </row>
  </sheetData>
  <hyperlinks>
    <hyperlink ref="E2" r:id="rId1" xr:uid="{2D678B60-F529-4545-B742-60F39A2600D5}"/>
    <hyperlink ref="E3" r:id="rId2" xr:uid="{F272EA2C-3099-423F-88DA-802F2A044785}"/>
    <hyperlink ref="E4" r:id="rId3" xr:uid="{C13D8C58-BF75-4A6B-8DC0-FCA87C2D91DB}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Invoice Template</vt:lpstr>
      <vt:lpstr>Sheet3</vt:lpstr>
      <vt:lpstr>cust_ddown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monis momin</dc:creator>
  <cp:lastModifiedBy>monis momin</cp:lastModifiedBy>
  <cp:lastPrinted>2023-09-10T10:57:00Z</cp:lastPrinted>
  <dcterms:created xsi:type="dcterms:W3CDTF">2023-09-09T17:55:53Z</dcterms:created>
  <dcterms:modified xsi:type="dcterms:W3CDTF">2023-09-10T10:57:24Z</dcterms:modified>
</cp:coreProperties>
</file>